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Test Plan" sheetId="1" state="visible" r:id="rId3"/>
    <sheet name="Live Audience Q&amp;A" sheetId="2" state="visible" r:id="rId4"/>
    <sheet name="Stage 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<sst xmlns="http://schemas.openxmlformats.org/spreadsheetml/2006/main" count="247" uniqueCount="194">
  <si>
    <t xml:space="preserve">Feature Test Plan</t>
  </si>
  <si>
    <t xml:space="preserve">#</t>
  </si>
  <si>
    <t xml:space="preserve">Feature</t>
  </si>
  <si>
    <t xml:space="preserve">Page</t>
  </si>
  <si>
    <t xml:space="preserve">How to test (steps)</t>
  </si>
  <si>
    <t xml:space="preserve">Example input</t>
  </si>
  <si>
    <t xml:space="preserve">Expected result</t>
  </si>
  <si>
    <t xml:space="preserve">Measured live (Oct 12, HydraDB + Groq)</t>
  </si>
  <si>
    <t xml:space="preserve">If it fails</t>
  </si>
  <si>
    <t xml:space="preserve">Status</t>
  </si>
  <si>
    <t xml:space="preserve">Engine status</t>
  </si>
  <si>
    <t xml:space="preserve">Top bar</t>
  </si>
  <si>
    <t xml:space="preserve">Open http://localhost:3000 and look at the badge top-left.</t>
  </si>
  <si>
    <t xml:space="preserve">—</t>
  </si>
  <si>
    <t xml:space="preserve">Badge says 'HydraDB live' and shows docs/links counts.</t>
  </si>
  <si>
    <t xml:space="preserve">HydraDB live · 5 docs · 13 links</t>
  </si>
  <si>
    <t xml:space="preserve">Badge says 'Engine offline' → Terminal window closed; reopen WhyBot.command.</t>
  </si>
  <si>
    <t xml:space="preserve">Not run</t>
  </si>
  <si>
    <t xml:space="preserve">Load starter data</t>
  </si>
  <si>
    <t xml:space="preserve">Knowledge</t>
  </si>
  <si>
    <t xml:space="preserve">Click 'No docs handy? Load starter data'.</t>
  </si>
  <si>
    <t xml:space="preserve">Activity shows 'Starter data added'; stats show 5 docs, 13 relationships.</t>
  </si>
  <si>
    <t xml:space="preserve">Pass</t>
  </si>
  <si>
    <t xml:space="preserve">Refresh the page; check Terminal for errors.</t>
  </si>
  <si>
    <t xml:space="preserve">Upload a file</t>
  </si>
  <si>
    <t xml:space="preserve">Drag a PDF / .md / .txt onto 'Drop files here'.</t>
  </si>
  <si>
    <t xml:space="preserve">Any short team doc (e.g. meeting notes PDF)</t>
  </si>
  <si>
    <t xml:space="preserve">Activity shows 'added'; table lists the file; indexing moves queued → completed.</t>
  </si>
  <si>
    <t xml:space="preserve">Uploads verified in tests; HydraDB indexing takes 1–5 min</t>
  </si>
  <si>
    <t xml:space="preserve">Unsupported type or binary file shows a clear red message — expected.</t>
  </si>
  <si>
    <t xml:space="preserve">Add a web page</t>
  </si>
  <si>
    <t xml:space="preserve">Paste a URL and click Add (or click the docs.hydradb.com chip).</t>
  </si>
  <si>
    <t xml:space="preserve">https://docs.hydradb.com/</t>
  </si>
  <si>
    <t xml:space="preserve">Activity shows the page added; it becomes searchable.</t>
  </si>
  <si>
    <t xml:space="preserve">docs.hydradb.com ingested OK</t>
  </si>
  <si>
    <t xml:space="preserve">Private/internal URLs are blocked on purpose (security).</t>
  </si>
  <si>
    <t xml:space="preserve">Ask the Brain (compare)</t>
  </si>
  <si>
    <t xml:space="preserve">Ask the Brain</t>
  </si>
  <si>
    <t xml:space="preserve">Keep 'Compare' ON, click a suggestion or type a question, press Ask.</t>
  </si>
  <si>
    <t xml:space="preserve">Who should I talk to before changing billing-service?</t>
  </si>
  <si>
    <t xml:space="preserve">Two cards: Plain search vs WhyBot; WhyBot card has the answer + sources + relationship graph.</t>
  </si>
  <si>
    <t xml:space="preserve">Answer names Priya Patel; 0.6 s</t>
  </si>
  <si>
    <t xml:space="preserve">Slow (&gt;15 s) → Groq busy; ask again or switch persona.</t>
  </si>
  <si>
    <t xml:space="preserve">Persona switch</t>
  </si>
  <si>
    <t xml:space="preserve">Ask the Brain / avatar menu</t>
  </si>
  <si>
    <t xml:space="preserve">Ask the same question as 'Engineer', then as 'Manager'.</t>
  </si>
  <si>
    <t xml:space="preserve">What would break if we deprecated the v1 payments API?</t>
  </si>
  <si>
    <t xml:space="preserve">Engineer gets steps/details; Manager gets timeline, owners, risk.</t>
  </si>
  <si>
    <t xml:space="preserve">Personas: Engineer, Manager, New Hire</t>
  </si>
  <si>
    <t xml:space="preserve">Open the avatar → 'Asking as' to switch.</t>
  </si>
  <si>
    <t xml:space="preserve">Remember something</t>
  </si>
  <si>
    <t xml:space="preserve">Personas &amp; Memory</t>
  </si>
  <si>
    <t xml:space="preserve">Type a fact, click Remember, then ask a related question.</t>
  </si>
  <si>
    <t xml:space="preserve">I own the mobile release</t>
  </si>
  <si>
    <t xml:space="preserve">Fact appears on the persona card and shapes later answers.</t>
  </si>
  <si>
    <t xml:space="preserve">Pass (synced to HydraDB memory)</t>
  </si>
  <si>
    <t xml:space="preserve">Profile</t>
  </si>
  <si>
    <t xml:space="preserve">Top-right avatar</t>
  </si>
  <si>
    <t xml:space="preserve">Avatar → Edit profile → name/role/team → Save.</t>
  </si>
  <si>
    <t xml:space="preserve">Your name, 'Engineer', 'Platform'</t>
  </si>
  <si>
    <t xml:space="preserve">Avatar shows your initials; 'Me (name)' persona appears.</t>
  </si>
  <si>
    <t xml:space="preserve">Blast Radius (signature)</t>
  </si>
  <si>
    <t xml:space="preserve">Blast Radius</t>
  </si>
  <si>
    <t xml:space="preserve">Click a suggestion chip or type a planned change → Check impact.</t>
  </si>
  <si>
    <t xml:space="preserve">Shut down stripe-api for maintenance tonight</t>
  </si>
  <si>
    <t xml:space="preserve">Risk dial, systems affected by hop, teams to notify, incidents, heads-up drafts, shockwave, written brief.</t>
  </si>
  <si>
    <t xml:space="preserve">High 88 · stripe-api → billing-service → invoice-generator · 1 team</t>
  </si>
  <si>
    <t xml:space="preserve">No systems found → the change names nothing in the graph; name a service.</t>
  </si>
  <si>
    <t xml:space="preserve">Blast Radius — flag change</t>
  </si>
  <si>
    <t xml:space="preserve">Click chip 'Turn off the billing-service feature flag…'.</t>
  </si>
  <si>
    <t xml:space="preserve">Turn off the billing-service feature flag use_payments_v2</t>
  </si>
  <si>
    <t xml:space="preserve">High risk; billing-service + invoice-generator; payments team.</t>
  </si>
  <si>
    <t xml:space="preserve">High 73 · 3.9 s</t>
  </si>
  <si>
    <t xml:space="preserve">Blast Radius — config change</t>
  </si>
  <si>
    <t xml:space="preserve">Click chip 'Migrate auth-service…'.</t>
  </si>
  <si>
    <t xml:space="preserve">Migrate auth-service to a new rate-limit-config</t>
  </si>
  <si>
    <t xml:space="preserve">Medium risk; platform team notified.</t>
  </si>
  <si>
    <t xml:space="preserve">Medium 58 · 3.8 s</t>
  </si>
  <si>
    <t xml:space="preserve">Blast Radius — person on leave</t>
  </si>
  <si>
    <t xml:space="preserve">AVOID ON STAGE.</t>
  </si>
  <si>
    <t xml:space="preserve">Priya Patel goes on leave for 6 weeks</t>
  </si>
  <si>
    <t xml:space="preserve">People are not graph nodes, so no systems are found.</t>
  </si>
  <si>
    <t xml:space="preserve">Medium 40 · 0 systems affected</t>
  </si>
  <si>
    <t xml:space="preserve">Use Ask instead: 'What does Priya Patel own?'</t>
  </si>
  <si>
    <t xml:space="preserve">Copy heads-up draft</t>
  </si>
  <si>
    <t xml:space="preserve">After a result, click Copy on a draft.</t>
  </si>
  <si>
    <t xml:space="preserve">Toast 'Message copied'; paste into Slack/email.</t>
  </si>
  <si>
    <t xml:space="preserve">Graph Explorer</t>
  </si>
  <si>
    <t xml:space="preserve">Open page; click a 'Most connected' chip; drag/zoom nodes.</t>
  </si>
  <si>
    <t xml:space="preserve">payments-api-v1</t>
  </si>
  <si>
    <t xml:space="preserve">Interactive graph focuses on that node.</t>
  </si>
  <si>
    <t xml:space="preserve">13 relationships</t>
  </si>
  <si>
    <t xml:space="preserve">Empty → load starter data or ask a question first.</t>
  </si>
  <si>
    <t xml:space="preserve">API live request</t>
  </si>
  <si>
    <t xml:space="preserve">API &amp; Integrations</t>
  </si>
  <si>
    <t xml:space="preserve">Pick POST /ask → Send request.</t>
  </si>
  <si>
    <t xml:space="preserve">Default body</t>
  </si>
  <si>
    <t xml:space="preserve">JSON answer appears; cURL + Slack snippets copyable.</t>
  </si>
  <si>
    <t xml:space="preserve">Settings</t>
  </si>
  <si>
    <t xml:space="preserve">Top-right gear</t>
  </si>
  <si>
    <t xml:space="preserve">Change accent color, glass blur, Reduce motion; close; reload.</t>
  </si>
  <si>
    <t xml:space="preserve">Accent = rose</t>
  </si>
  <si>
    <t xml:space="preserve">Look changes and persists after reload.</t>
  </si>
  <si>
    <t xml:space="preserve">Pass (browser test)</t>
  </si>
  <si>
    <t xml:space="preserve">Out-of-scope question</t>
  </si>
  <si>
    <t xml:space="preserve">Ask something not in the docs.</t>
  </si>
  <si>
    <t xml:space="preserve">What is our vacation policy?</t>
  </si>
  <si>
    <t xml:space="preserve">Honest 'not in the documents' answer (no hallucination).</t>
  </si>
  <si>
    <t xml:space="preserve">Correct but 26 s — slow</t>
  </si>
  <si>
    <t xml:space="preserve">Avoid on stage or warn the audience it searches only loaded docs.</t>
  </si>
  <si>
    <t xml:space="preserve">Offline backup</t>
  </si>
  <si>
    <t xml:space="preserve">backend/.env</t>
  </si>
  <si>
    <t xml:space="preserve">Set MOCK_MODE=1, restart WhyBot.command, load starter data.</t>
  </si>
  <si>
    <t xml:space="preserve">Badge 'Offline mode'; all features work without internet (evidence-summary answers).</t>
  </si>
  <si>
    <t xml:space="preserve">Pass (248 tests run this way)</t>
  </si>
  <si>
    <t xml:space="preserve">Use if venue Wi-Fi fails.</t>
  </si>
  <si>
    <t xml:space="preserve">Passed</t>
  </si>
  <si>
    <t xml:space="preserve">Legend: set the Status column (dropdown) as you test. 'Measured live' = real results from your Mac on Oct 12, 3:42 PM.</t>
  </si>
  <si>
    <t xml:space="preserve">Failed</t>
  </si>
  <si>
    <t xml:space="preserve">Live Audience Q&amp;A</t>
  </si>
  <si>
    <t xml:space="preserve">Real-world situation</t>
  </si>
  <si>
    <t xml:space="preserve">What the audience might ask</t>
  </si>
  <si>
    <t xml:space="preserve">Where to type it</t>
  </si>
  <si>
    <t xml:space="preserve">What WhyBot shows</t>
  </si>
  <si>
    <t xml:space="preserve">Verified?</t>
  </si>
  <si>
    <t xml:space="preserve">Presenter tip</t>
  </si>
  <si>
    <t xml:space="preserve">New hire, first week</t>
  </si>
  <si>
    <t xml:space="preserve">Ask the Brain (persona: New Hire)</t>
  </si>
  <si>
    <t xml:space="preserve">Priya Patel / Billing team, with sources</t>
  </si>
  <si>
    <t xml:space="preserve">Yes — 0.6 s</t>
  </si>
  <si>
    <t xml:space="preserve">Great opener: shows 'who owns what'.</t>
  </si>
  <si>
    <t xml:space="preserve">Planned maintenance</t>
  </si>
  <si>
    <t xml:space="preserve">High risk, 2-hop ripple, payments team draft</t>
  </si>
  <si>
    <t xml:space="preserve">Yes — High 88</t>
  </si>
  <si>
    <t xml:space="preserve">Point at the shockwave and the hop list.</t>
  </si>
  <si>
    <t xml:space="preserve">API deprecation</t>
  </si>
  <si>
    <t xml:space="preserve">Deprecate payments-api-v1 next month</t>
  </si>
  <si>
    <t xml:space="preserve">High 100, 6 systems, 3 teams, past incident INC-0312</t>
  </si>
  <si>
    <t xml:space="preserve">Yes — High 100</t>
  </si>
  <si>
    <t xml:space="preserve">The money shot: 'last time this went wrong'.</t>
  </si>
  <si>
    <t xml:space="preserve">Feature flag flip</t>
  </si>
  <si>
    <t xml:space="preserve">High 73, billing + invoice-generator</t>
  </si>
  <si>
    <t xml:space="preserve">Yes</t>
  </si>
  <si>
    <t xml:space="preserve">Shows it works for config changes, not just APIs.</t>
  </si>
  <si>
    <t xml:space="preserve">Incident review</t>
  </si>
  <si>
    <t xml:space="preserve">What caused the March 12 incident and how long did it last?</t>
  </si>
  <si>
    <t xml:space="preserve">Ask the Brain (Engineer)</t>
  </si>
  <si>
    <t xml:space="preserve">Root cause (connection pool), 47 minutes, cites postmortem</t>
  </si>
  <si>
    <t xml:space="preserve">Yes — 0.4 s</t>
  </si>
  <si>
    <t xml:space="preserve">Shows it reads postmortems.</t>
  </si>
  <si>
    <t xml:space="preserve">Why a decision was made</t>
  </si>
  <si>
    <t xml:space="preserve">Why are we migrating to payments v2?</t>
  </si>
  <si>
    <t xml:space="preserve">Ask the Brain (Manager)</t>
  </si>
  <si>
    <t xml:space="preserve">Latency + incident reasons from ADR-007</t>
  </si>
  <si>
    <t xml:space="preserve">Yes (sample question)</t>
  </si>
  <si>
    <t xml:space="preserve">Switch persona and ask again to show tailoring.</t>
  </si>
  <si>
    <t xml:space="preserve">Sponsor question</t>
  </si>
  <si>
    <t xml:space="preserve">How are memories different from knowledge in HydraDB?</t>
  </si>
  <si>
    <t xml:space="preserve">Answer from docs.hydradb.com</t>
  </si>
  <si>
    <t xml:space="preserve">Yes — 1.9 s</t>
  </si>
  <si>
    <t xml:space="preserve">Delight HydraDB judges: the brain read their docs.</t>
  </si>
  <si>
    <t xml:space="preserve">Audience's own docs</t>
  </si>
  <si>
    <t xml:space="preserve">'Here's our docs link' — paste any public docs URL</t>
  </si>
  <si>
    <t xml:space="preserve">Knowledge → Add a web page</t>
  </si>
  <si>
    <t xml:space="preserve">Ingests live; local search works immediately, HydraDB graph within minutes</t>
  </si>
  <si>
    <t xml:space="preserve">Partly (indexing delay)</t>
  </si>
  <si>
    <t xml:space="preserve">Say: 'HydraDB is indexing it now — ask in 2 minutes.'</t>
  </si>
  <si>
    <t xml:space="preserve">Ownership by person</t>
  </si>
  <si>
    <t xml:space="preserve">What does Priya Patel own?</t>
  </si>
  <si>
    <t xml:space="preserve">Billing-service migration, on-call</t>
  </si>
  <si>
    <t xml:space="preserve">Expected (from docs)</t>
  </si>
  <si>
    <t xml:space="preserve">Don't use Blast Radius for people.</t>
  </si>
  <si>
    <t xml:space="preserve">Off-topic</t>
  </si>
  <si>
    <t xml:space="preserve">What's our vacation policy?</t>
  </si>
  <si>
    <t xml:space="preserve">Honest 'not in the documents'</t>
  </si>
  <si>
    <t xml:space="preserve">Yes — but 26 s</t>
  </si>
  <si>
    <t xml:space="preserve">Use to show it doesn't hallucinate; warn it may take a moment.</t>
  </si>
  <si>
    <t xml:space="preserve">Stage Checklist</t>
  </si>
  <si>
    <t xml:space="preserve">When</t>
  </si>
  <si>
    <t xml:space="preserve">Check</t>
  </si>
  <si>
    <t xml:space="preserve">Done?</t>
  </si>
  <si>
    <t xml:space="preserve">T-20 min</t>
  </si>
  <si>
    <t xml:space="preserve">Terminal window 'WhyBot.command' is open (closing it stops the app).</t>
  </si>
  <si>
    <t xml:space="preserve">Open http://localhost:3000 in full-screen Chrome/Safari (not the narrow side panel).</t>
  </si>
  <si>
    <t xml:space="preserve">T-15 min</t>
  </si>
  <si>
    <t xml:space="preserve">Badge shows 'HydraDB live'; Knowledge page shows starter data + docs.hydradb.com.</t>
  </si>
  <si>
    <t xml:space="preserve">Knowledge → Refresh status shows 'completed' (graph ready).</t>
  </si>
  <si>
    <t xml:space="preserve">T-10 min</t>
  </si>
  <si>
    <t xml:space="preserve">Run rows 3, 5 and 9 of 'Feature Test Plan' once (warms the cache — repeats answer instantly).</t>
  </si>
  <si>
    <t xml:space="preserve">Set your profile (avatar) so the demo shows your name.</t>
  </si>
  <si>
    <t xml:space="preserve">T-5 min</t>
  </si>
  <si>
    <t xml:space="preserve">Turn off notifications (Focus mode); close other tabs.</t>
  </si>
  <si>
    <t xml:space="preserve">Backup</t>
  </si>
  <si>
    <t xml:space="preserve">Wi-Fi fails → backend/.env MOCK_MODE=1, restart WhyBot.command, Load starter data.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</si>
</sst>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12E8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4748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12E8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CFCE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12E8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5" min="5" style="1" width="34"/>
    <col collapsed="false" customWidth="true" hidden="false" outlineLevel="0" max="6" min="6" style="1" width="40"/>
    <col collapsed="false" customWidth="true" hidden="false" outlineLevel="0" max="7" min="7" style="1" width="30"/>
    <col collapsed="false" customWidth="true" hidden="false" outlineLevel="0" max="8" min="8" style="1" width="34"/>
    <col collapsed="false" customWidth="true" hidden="false" outlineLevel="0" max="9" min="9" style="1" width="10"/>
  </cols>
  <sheetData>
    <row r="1" customFormat="false" ht="17.35" hidden="false" customHeight="false" outlineLevel="0" collapsed="false">
      <c r="A1" s="2" t="s">
        <v>0</v>
      </c>
    </row>
    <row r="3" customFormat="false" ht="26.8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35.05" hidden="false" customHeight="false" outlineLevel="0" collapsed="false">
      <c r="A4" s="4" t="n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</row>
    <row r="5" customFormat="false" ht="23.85" hidden="false" customHeight="false" outlineLevel="0" collapsed="false">
      <c r="A5" s="4" t="n">
        <v>2</v>
      </c>
      <c r="B5" s="4" t="s">
        <v>18</v>
      </c>
      <c r="C5" s="4" t="s">
        <v>19</v>
      </c>
      <c r="D5" s="4" t="s">
        <v>20</v>
      </c>
      <c r="E5" s="4" t="s">
        <v>13</v>
      </c>
      <c r="F5" s="4" t="s">
        <v>21</v>
      </c>
      <c r="G5" s="4" t="s">
        <v>22</v>
      </c>
      <c r="H5" s="4" t="s">
        <v>23</v>
      </c>
      <c r="I5" s="4" t="s">
        <v>17</v>
      </c>
    </row>
    <row r="6" customFormat="false" ht="23.85" hidden="false" customHeight="false" outlineLevel="0" collapsed="false">
      <c r="A6" s="4" t="n">
        <v>3</v>
      </c>
      <c r="B6" s="4" t="s">
        <v>24</v>
      </c>
      <c r="C6" s="4" t="s">
        <v>19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17</v>
      </c>
    </row>
    <row r="7" customFormat="false" ht="23.85" hidden="false" customHeight="false" outlineLevel="0" collapsed="false">
      <c r="A7" s="4" t="n">
        <v>4</v>
      </c>
      <c r="B7" s="4" t="s">
        <v>30</v>
      </c>
      <c r="C7" s="4" t="s">
        <v>19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35</v>
      </c>
      <c r="I7" s="4" t="s">
        <v>17</v>
      </c>
    </row>
    <row r="8" customFormat="false" ht="35.05" hidden="false" customHeight="false" outlineLevel="0" collapsed="false">
      <c r="A8" s="4" t="n">
        <v>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4" t="s">
        <v>17</v>
      </c>
    </row>
    <row r="9" customFormat="false" ht="23.85" hidden="false" customHeight="false" outlineLevel="0" collapsed="false">
      <c r="A9" s="4" t="n">
        <v>6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17</v>
      </c>
    </row>
    <row r="10" customFormat="false" ht="23.85" hidden="false" customHeight="false" outlineLevel="0" collapsed="false">
      <c r="A10" s="4" t="n">
        <v>7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54</v>
      </c>
      <c r="G10" s="4" t="s">
        <v>55</v>
      </c>
      <c r="H10" s="4" t="s">
        <v>13</v>
      </c>
      <c r="I10" s="4" t="s">
        <v>17</v>
      </c>
    </row>
    <row r="11" customFormat="false" ht="23.85" hidden="false" customHeight="false" outlineLevel="0" collapsed="false">
      <c r="A11" s="4" t="n">
        <v>8</v>
      </c>
      <c r="B11" s="4" t="s">
        <v>56</v>
      </c>
      <c r="C11" s="4" t="s">
        <v>57</v>
      </c>
      <c r="D11" s="4" t="s">
        <v>58</v>
      </c>
      <c r="E11" s="4" t="s">
        <v>59</v>
      </c>
      <c r="F11" s="4" t="s">
        <v>60</v>
      </c>
      <c r="G11" s="4" t="s">
        <v>22</v>
      </c>
      <c r="H11" s="4" t="s">
        <v>13</v>
      </c>
      <c r="I11" s="4" t="s">
        <v>17</v>
      </c>
    </row>
    <row r="12" customFormat="false" ht="35.05" hidden="false" customHeight="false" outlineLevel="0" collapsed="false">
      <c r="A12" s="4" t="n">
        <v>9</v>
      </c>
      <c r="B12" s="4" t="s">
        <v>61</v>
      </c>
      <c r="C12" s="4" t="s">
        <v>62</v>
      </c>
      <c r="D12" s="4" t="s">
        <v>63</v>
      </c>
      <c r="E12" s="4" t="s">
        <v>64</v>
      </c>
      <c r="F12" s="4" t="s">
        <v>65</v>
      </c>
      <c r="G12" s="4" t="s">
        <v>66</v>
      </c>
      <c r="H12" s="4" t="s">
        <v>67</v>
      </c>
      <c r="I12" s="4" t="s">
        <v>17</v>
      </c>
    </row>
    <row r="13" customFormat="false" ht="23.85" hidden="false" customHeight="false" outlineLevel="0" collapsed="false">
      <c r="A13" s="4" t="n">
        <v>10</v>
      </c>
      <c r="B13" s="4" t="s">
        <v>68</v>
      </c>
      <c r="C13" s="4" t="s">
        <v>62</v>
      </c>
      <c r="D13" s="4" t="s">
        <v>69</v>
      </c>
      <c r="E13" s="4" t="s">
        <v>70</v>
      </c>
      <c r="F13" s="4" t="s">
        <v>71</v>
      </c>
      <c r="G13" s="4" t="s">
        <v>72</v>
      </c>
      <c r="H13" s="4" t="s">
        <v>13</v>
      </c>
      <c r="I13" s="4" t="s">
        <v>17</v>
      </c>
    </row>
    <row r="14" customFormat="false" ht="23.85" hidden="false" customHeight="false" outlineLevel="0" collapsed="false">
      <c r="A14" s="4" t="n">
        <v>11</v>
      </c>
      <c r="B14" s="4" t="s">
        <v>73</v>
      </c>
      <c r="C14" s="4" t="s">
        <v>62</v>
      </c>
      <c r="D14" s="4" t="s">
        <v>74</v>
      </c>
      <c r="E14" s="4" t="s">
        <v>75</v>
      </c>
      <c r="F14" s="4" t="s">
        <v>76</v>
      </c>
      <c r="G14" s="4" t="s">
        <v>77</v>
      </c>
      <c r="H14" s="4" t="s">
        <v>13</v>
      </c>
      <c r="I14" s="4" t="s">
        <v>17</v>
      </c>
    </row>
    <row r="15" customFormat="false" ht="23.85" hidden="false" customHeight="false" outlineLevel="0" collapsed="false">
      <c r="A15" s="4" t="n">
        <v>12</v>
      </c>
      <c r="B15" s="4" t="s">
        <v>78</v>
      </c>
      <c r="C15" s="4" t="s">
        <v>62</v>
      </c>
      <c r="D15" s="4" t="s">
        <v>79</v>
      </c>
      <c r="E15" s="4" t="s">
        <v>80</v>
      </c>
      <c r="F15" s="4" t="s">
        <v>81</v>
      </c>
      <c r="G15" s="4" t="s">
        <v>82</v>
      </c>
      <c r="H15" s="4" t="s">
        <v>83</v>
      </c>
      <c r="I15" s="4" t="s">
        <v>17</v>
      </c>
    </row>
    <row r="16" customFormat="false" ht="15" hidden="false" customHeight="false" outlineLevel="0" collapsed="false">
      <c r="A16" s="4" t="n">
        <v>13</v>
      </c>
      <c r="B16" s="4" t="s">
        <v>84</v>
      </c>
      <c r="C16" s="4" t="s">
        <v>62</v>
      </c>
      <c r="D16" s="4" t="s">
        <v>85</v>
      </c>
      <c r="E16" s="4" t="s">
        <v>13</v>
      </c>
      <c r="F16" s="4" t="s">
        <v>86</v>
      </c>
      <c r="G16" s="4" t="s">
        <v>22</v>
      </c>
      <c r="H16" s="4" t="s">
        <v>13</v>
      </c>
      <c r="I16" s="4" t="s">
        <v>17</v>
      </c>
    </row>
    <row r="17" customFormat="false" ht="23.85" hidden="false" customHeight="false" outlineLevel="0" collapsed="false">
      <c r="A17" s="4" t="n">
        <v>14</v>
      </c>
      <c r="B17" s="4" t="s">
        <v>87</v>
      </c>
      <c r="C17" s="4" t="s">
        <v>87</v>
      </c>
      <c r="D17" s="4" t="s">
        <v>88</v>
      </c>
      <c r="E17" s="4" t="s">
        <v>89</v>
      </c>
      <c r="F17" s="4" t="s">
        <v>90</v>
      </c>
      <c r="G17" s="4" t="s">
        <v>91</v>
      </c>
      <c r="H17" s="4" t="s">
        <v>92</v>
      </c>
      <c r="I17" s="4" t="s">
        <v>17</v>
      </c>
    </row>
    <row r="18" customFormat="false" ht="23.85" hidden="false" customHeight="false" outlineLevel="0" collapsed="false">
      <c r="A18" s="4" t="n">
        <v>15</v>
      </c>
      <c r="B18" s="4" t="s">
        <v>93</v>
      </c>
      <c r="C18" s="4" t="s">
        <v>94</v>
      </c>
      <c r="D18" s="4" t="s">
        <v>95</v>
      </c>
      <c r="E18" s="4" t="s">
        <v>96</v>
      </c>
      <c r="F18" s="4" t="s">
        <v>97</v>
      </c>
      <c r="G18" s="4" t="s">
        <v>22</v>
      </c>
      <c r="H18" s="4" t="s">
        <v>13</v>
      </c>
      <c r="I18" s="4" t="s">
        <v>17</v>
      </c>
    </row>
    <row r="19" customFormat="false" ht="23.85" hidden="false" customHeight="false" outlineLevel="0" collapsed="false">
      <c r="A19" s="4" t="n">
        <v>16</v>
      </c>
      <c r="B19" s="4" t="s">
        <v>98</v>
      </c>
      <c r="C19" s="4" t="s">
        <v>99</v>
      </c>
      <c r="D19" s="4" t="s">
        <v>100</v>
      </c>
      <c r="E19" s="4" t="s">
        <v>101</v>
      </c>
      <c r="F19" s="4" t="s">
        <v>102</v>
      </c>
      <c r="G19" s="4" t="s">
        <v>103</v>
      </c>
      <c r="H19" s="4" t="s">
        <v>13</v>
      </c>
      <c r="I19" s="4" t="s">
        <v>17</v>
      </c>
    </row>
    <row r="20" customFormat="false" ht="23.85" hidden="false" customHeight="false" outlineLevel="0" collapsed="false">
      <c r="A20" s="4" t="n">
        <v>17</v>
      </c>
      <c r="B20" s="4" t="s">
        <v>104</v>
      </c>
      <c r="C20" s="4" t="s">
        <v>37</v>
      </c>
      <c r="D20" s="4" t="s">
        <v>105</v>
      </c>
      <c r="E20" s="4" t="s">
        <v>106</v>
      </c>
      <c r="F20" s="4" t="s">
        <v>107</v>
      </c>
      <c r="G20" s="4" t="s">
        <v>108</v>
      </c>
      <c r="H20" s="4" t="s">
        <v>109</v>
      </c>
      <c r="I20" s="4" t="s">
        <v>17</v>
      </c>
    </row>
    <row r="21" customFormat="false" ht="23.85" hidden="false" customHeight="false" outlineLevel="0" collapsed="false">
      <c r="A21" s="4" t="n">
        <v>18</v>
      </c>
      <c r="B21" s="4" t="s">
        <v>110</v>
      </c>
      <c r="C21" s="4" t="s">
        <v>111</v>
      </c>
      <c r="D21" s="4" t="s">
        <v>112</v>
      </c>
      <c r="E21" s="4" t="s">
        <v>13</v>
      </c>
      <c r="F21" s="4" t="s">
        <v>113</v>
      </c>
      <c r="G21" s="4" t="s">
        <v>114</v>
      </c>
      <c r="H21" s="4" t="s">
        <v>115</v>
      </c>
      <c r="I21" s="4" t="s">
        <v>17</v>
      </c>
    </row>
    <row r="23" customFormat="false" ht="15" hidden="false" customHeight="false" outlineLevel="0" collapsed="false">
      <c r="B23" s="5" t="s">
        <v>116</v>
      </c>
      <c r="C23" s="6" t="n">
        <f aca="false">COUNTIF(I4:I21,"Pass")</f>
        <v>0</v>
      </c>
      <c r="E23" s="7" t="s">
        <v>117</v>
      </c>
    </row>
    <row r="24" customFormat="false" ht="15" hidden="false" customHeight="false" outlineLevel="0" collapsed="false">
      <c r="B24" s="5" t="s">
        <v>118</v>
      </c>
      <c r="C24" s="6" t="n">
        <f aca="false">COUNTIF(I4:I21,"Fail")</f>
        <v>0</v>
      </c>
    </row>
    <row r="25" customFormat="false" ht="15" hidden="false" customHeight="false" outlineLevel="0" collapsed="false">
      <c r="B25" s="5" t="s">
        <v>17</v>
      </c>
      <c r="C25" s="6" t="n">
        <f aca="false">COUNTIF(I4:I21,"Not run")</f>
        <v>18</v>
      </c>
    </row>
  </sheetData>
  <conditionalFormatting sqref="I4:I2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Style="stop" operator="between" showDropDown="false" showErrorMessage="false" showInputMessage="false" sqref="I4:I21" type="list">
      <formula1>"Not run,Pass,Fail,Skip"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44"/>
    <col collapsed="false" customWidth="true" hidden="false" outlineLevel="0" max="4" min="4" style="1" width="26"/>
    <col collapsed="false" customWidth="true" hidden="false" outlineLevel="0" max="5" min="5" style="1" width="40"/>
    <col collapsed="false" customWidth="true" hidden="false" outlineLevel="0" max="6" min="6" style="1" width="18"/>
    <col collapsed="false" customWidth="true" hidden="false" outlineLevel="0" max="7" min="7" style="1" width="40"/>
  </cols>
  <sheetData>
    <row r="1" customFormat="false" ht="17.3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3" t="s">
        <v>1</v>
      </c>
      <c r="B3" s="3" t="s">
        <v>120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125</v>
      </c>
    </row>
    <row r="4" customFormat="false" ht="23.85" hidden="false" customHeight="false" outlineLevel="0" collapsed="false">
      <c r="A4" s="4" t="n">
        <v>1</v>
      </c>
      <c r="B4" s="4" t="s">
        <v>126</v>
      </c>
      <c r="C4" s="4" t="s">
        <v>39</v>
      </c>
      <c r="D4" s="4" t="s">
        <v>127</v>
      </c>
      <c r="E4" s="4" t="s">
        <v>128</v>
      </c>
      <c r="F4" s="4" t="s">
        <v>129</v>
      </c>
      <c r="G4" s="4" t="s">
        <v>130</v>
      </c>
    </row>
    <row r="5" customFormat="false" ht="15" hidden="false" customHeight="false" outlineLevel="0" collapsed="false">
      <c r="A5" s="4" t="n">
        <v>2</v>
      </c>
      <c r="B5" s="4" t="s">
        <v>131</v>
      </c>
      <c r="C5" s="4" t="s">
        <v>64</v>
      </c>
      <c r="D5" s="4" t="s">
        <v>62</v>
      </c>
      <c r="E5" s="4" t="s">
        <v>132</v>
      </c>
      <c r="F5" s="4" t="s">
        <v>133</v>
      </c>
      <c r="G5" s="4" t="s">
        <v>134</v>
      </c>
    </row>
    <row r="6" customFormat="false" ht="23.85" hidden="false" customHeight="false" outlineLevel="0" collapsed="false">
      <c r="A6" s="4" t="n">
        <v>3</v>
      </c>
      <c r="B6" s="4" t="s">
        <v>135</v>
      </c>
      <c r="C6" s="4" t="s">
        <v>136</v>
      </c>
      <c r="D6" s="4" t="s">
        <v>62</v>
      </c>
      <c r="E6" s="4" t="s">
        <v>137</v>
      </c>
      <c r="F6" s="4" t="s">
        <v>138</v>
      </c>
      <c r="G6" s="4" t="s">
        <v>139</v>
      </c>
    </row>
    <row r="7" customFormat="false" ht="23.85" hidden="false" customHeight="false" outlineLevel="0" collapsed="false">
      <c r="A7" s="4" t="n">
        <v>4</v>
      </c>
      <c r="B7" s="4" t="s">
        <v>140</v>
      </c>
      <c r="C7" s="4" t="s">
        <v>70</v>
      </c>
      <c r="D7" s="4" t="s">
        <v>62</v>
      </c>
      <c r="E7" s="4" t="s">
        <v>141</v>
      </c>
      <c r="F7" s="4" t="s">
        <v>142</v>
      </c>
      <c r="G7" s="4" t="s">
        <v>143</v>
      </c>
    </row>
    <row r="8" customFormat="false" ht="23.85" hidden="false" customHeight="false" outlineLevel="0" collapsed="false">
      <c r="A8" s="4" t="n">
        <v>5</v>
      </c>
      <c r="B8" s="4" t="s">
        <v>144</v>
      </c>
      <c r="C8" s="4" t="s">
        <v>145</v>
      </c>
      <c r="D8" s="4" t="s">
        <v>146</v>
      </c>
      <c r="E8" s="4" t="s">
        <v>147</v>
      </c>
      <c r="F8" s="4" t="s">
        <v>148</v>
      </c>
      <c r="G8" s="4" t="s">
        <v>149</v>
      </c>
    </row>
    <row r="9" customFormat="false" ht="23.85" hidden="false" customHeight="false" outlineLevel="0" collapsed="false">
      <c r="A9" s="4" t="n">
        <v>6</v>
      </c>
      <c r="B9" s="4" t="s">
        <v>150</v>
      </c>
      <c r="C9" s="4" t="s">
        <v>151</v>
      </c>
      <c r="D9" s="4" t="s">
        <v>152</v>
      </c>
      <c r="E9" s="4" t="s">
        <v>153</v>
      </c>
      <c r="F9" s="4" t="s">
        <v>154</v>
      </c>
      <c r="G9" s="4" t="s">
        <v>155</v>
      </c>
    </row>
    <row r="10" customFormat="false" ht="23.85" hidden="false" customHeight="false" outlineLevel="0" collapsed="false">
      <c r="A10" s="4" t="n">
        <v>7</v>
      </c>
      <c r="B10" s="4" t="s">
        <v>156</v>
      </c>
      <c r="C10" s="4" t="s">
        <v>157</v>
      </c>
      <c r="D10" s="4" t="s">
        <v>37</v>
      </c>
      <c r="E10" s="4" t="s">
        <v>158</v>
      </c>
      <c r="F10" s="4" t="s">
        <v>159</v>
      </c>
      <c r="G10" s="4" t="s">
        <v>160</v>
      </c>
    </row>
    <row r="11" customFormat="false" ht="23.85" hidden="false" customHeight="false" outlineLevel="0" collapsed="false">
      <c r="A11" s="4" t="n">
        <v>8</v>
      </c>
      <c r="B11" s="4" t="s">
        <v>161</v>
      </c>
      <c r="C11" s="4" t="s">
        <v>162</v>
      </c>
      <c r="D11" s="4" t="s">
        <v>163</v>
      </c>
      <c r="E11" s="4" t="s">
        <v>164</v>
      </c>
      <c r="F11" s="4" t="s">
        <v>165</v>
      </c>
      <c r="G11" s="4" t="s">
        <v>166</v>
      </c>
    </row>
    <row r="12" customFormat="false" ht="15" hidden="false" customHeight="false" outlineLevel="0" collapsed="false">
      <c r="A12" s="4" t="n">
        <v>9</v>
      </c>
      <c r="B12" s="4" t="s">
        <v>167</v>
      </c>
      <c r="C12" s="4" t="s">
        <v>168</v>
      </c>
      <c r="D12" s="4" t="s">
        <v>37</v>
      </c>
      <c r="E12" s="4" t="s">
        <v>169</v>
      </c>
      <c r="F12" s="4" t="s">
        <v>170</v>
      </c>
      <c r="G12" s="4" t="s">
        <v>171</v>
      </c>
    </row>
    <row r="13" customFormat="false" ht="23.85" hidden="false" customHeight="false" outlineLevel="0" collapsed="false">
      <c r="A13" s="4" t="n">
        <v>10</v>
      </c>
      <c r="B13" s="4" t="s">
        <v>172</v>
      </c>
      <c r="C13" s="4" t="s">
        <v>173</v>
      </c>
      <c r="D13" s="4" t="s">
        <v>37</v>
      </c>
      <c r="E13" s="4" t="s">
        <v>174</v>
      </c>
      <c r="F13" s="4" t="s">
        <v>175</v>
      </c>
      <c r="G13" s="4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90"/>
    <col collapsed="false" customWidth="true" hidden="false" outlineLevel="0" max="4" min="4" style="1" width="10"/>
  </cols>
  <sheetData>
    <row r="1" customFormat="false" ht="17.35" hidden="false" customHeight="false" outlineLevel="0" collapsed="false">
      <c r="A1" s="2" t="s">
        <v>177</v>
      </c>
    </row>
    <row r="3" customFormat="false" ht="15" hidden="false" customHeight="false" outlineLevel="0" collapsed="false">
      <c r="A3" s="3" t="s">
        <v>1</v>
      </c>
      <c r="B3" s="3" t="s">
        <v>178</v>
      </c>
      <c r="C3" s="3" t="s">
        <v>179</v>
      </c>
      <c r="D3" s="3" t="s">
        <v>180</v>
      </c>
    </row>
    <row r="4" customFormat="false" ht="15" hidden="false" customHeight="false" outlineLevel="0" collapsed="false">
      <c r="A4" s="4" t="n">
        <v>1</v>
      </c>
      <c r="B4" s="4" t="s">
        <v>181</v>
      </c>
      <c r="C4" s="4" t="s">
        <v>182</v>
      </c>
      <c r="D4" s="4"/>
    </row>
    <row r="5" customFormat="false" ht="15" hidden="false" customHeight="false" outlineLevel="0" collapsed="false">
      <c r="A5" s="4" t="n">
        <v>2</v>
      </c>
      <c r="B5" s="4" t="s">
        <v>181</v>
      </c>
      <c r="C5" s="4" t="s">
        <v>183</v>
      </c>
      <c r="D5" s="4"/>
    </row>
    <row r="6" customFormat="false" ht="15" hidden="false" customHeight="false" outlineLevel="0" collapsed="false">
      <c r="A6" s="4" t="n">
        <v>3</v>
      </c>
      <c r="B6" s="4" t="s">
        <v>184</v>
      </c>
      <c r="C6" s="4" t="s">
        <v>185</v>
      </c>
      <c r="D6" s="4"/>
    </row>
    <row r="7" customFormat="false" ht="15" hidden="false" customHeight="false" outlineLevel="0" collapsed="false">
      <c r="A7" s="4" t="n">
        <v>4</v>
      </c>
      <c r="B7" s="4" t="s">
        <v>184</v>
      </c>
      <c r="C7" s="4" t="s">
        <v>186</v>
      </c>
      <c r="D7" s="4"/>
    </row>
    <row r="8" customFormat="false" ht="15" hidden="false" customHeight="false" outlineLevel="0" collapsed="false">
      <c r="A8" s="4" t="n">
        <v>5</v>
      </c>
      <c r="B8" s="4" t="s">
        <v>187</v>
      </c>
      <c r="C8" s="4" t="s">
        <v>188</v>
      </c>
      <c r="D8" s="4"/>
    </row>
    <row r="9" customFormat="false" ht="15" hidden="false" customHeight="false" outlineLevel="0" collapsed="false">
      <c r="A9" s="4" t="n">
        <v>6</v>
      </c>
      <c r="B9" s="4" t="s">
        <v>187</v>
      </c>
      <c r="C9" s="4" t="s">
        <v>189</v>
      </c>
      <c r="D9" s="4"/>
    </row>
    <row r="10" customFormat="false" ht="15" hidden="false" customHeight="false" outlineLevel="0" collapsed="false">
      <c r="A10" s="4" t="n">
        <v>7</v>
      </c>
      <c r="B10" s="4" t="s">
        <v>190</v>
      </c>
      <c r="C10" s="4" t="s">
        <v>191</v>
      </c>
      <c r="D10" s="4"/>
    </row>
    <row r="11" customFormat="false" ht="15" hidden="false" customHeight="false" outlineLevel="0" collapsed="false">
      <c r="A11" s="4" t="n">
        <v>8</v>
      </c>
      <c r="B11" s="4" t="s">
        <v>192</v>
      </c>
      <c r="C11" s="4" t="s">
        <v>193</v>
      </c>
      <c r="D11" s="4"/>
    </row>
  </sheetData>
  <dataValidations count="1">
    <dataValidation allowBlank="true" errorStyle="stop" operator="between" showDropDown="false" showErrorMessage="false" showInputMessage="false" sqref="D4:D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2026-10-12T22:47:40Z</dcterms:created>
  <dc:creator>openpyxl</dc:creator>
  <dc:description/>
  <dc:language>en-US</dc:language>
  <cp:lastModifiedBy/>
  <dcterms:modified xsi:type="dcterms:W3CDTF">2026-10-12T22:47:40Z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